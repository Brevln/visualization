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ra\OneDrive\Desktop\"/>
    </mc:Choice>
  </mc:AlternateContent>
  <xr:revisionPtr revIDLastSave="0" documentId="13_ncr:1_{33C476C4-4D84-4EFA-9E3B-E34178CD0C6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gomery_Fleet_Equipment_Inve" sheetId="1" r:id="rId1"/>
    <sheet name="PIVOT_TBL1" sheetId="2" r:id="rId2"/>
    <sheet name="PIVOT_TBL2" sheetId="3" r:id="rId3"/>
    <sheet name="PIVOT_TBL3" sheetId="4" r:id="rId4"/>
  </sheets>
  <definedNames>
    <definedName name="_xlnm._FilterDatabase" localSheetId="0" hidden="1">Montgomery_Fleet_Equipment_Inve!$A$1:$C$55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1" i="1" l="1"/>
  <c r="C55" i="1"/>
  <c r="C54" i="1"/>
  <c r="C53" i="1"/>
  <c r="C52" i="1"/>
</calcChain>
</file>

<file path=xl/sharedStrings.xml><?xml version="1.0" encoding="utf-8"?>
<sst xmlns="http://schemas.openxmlformats.org/spreadsheetml/2006/main" count="165" uniqueCount="38">
  <si>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</si>
  <si>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</si>
  <si>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</si>
  <si>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</si>
  <si>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</si>
  <si>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</si>
  <si>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</si>
  <si>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</si>
  <si>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</si>
  <si>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</si>
  <si>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</si>
  <si>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</si>
  <si>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</si>
  <si>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</si>
  <si>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</si>
  <si>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</si>
  <si>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</si>
  <si>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</si>
  <si>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</si>
  <si>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</si>
  <si>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</si>
  <si>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</si>
  <si>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</si>
  <si>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</si>
  <si>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</si>
  <si>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</si>
  <si>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</si>
  <si>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</si>
  <si>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</si>
  <si>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</si>
  <si>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</si>
  <si>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</si>
  <si>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</si>
  <si>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</si>
  <si>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Grand Total</t>
  </si>
  <si>
    <t>Sum of Equipment Count</t>
  </si>
  <si>
    <t>vehicle types  under each department</t>
  </si>
  <si>
    <t>different departments listed underneath each vehicle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</si>
</sst>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1" fontId="0" fillId="0" borderId="0" xfId="0" applyNumberFormat="1"/>
    <xf numFmtId="1" fontId="16" fillId="0" borderId="11" xfId="0" applyNumberFormat="1" applyFont="1" applyBorder="1"/>
    <xf numFmtId="0" fontId="0" fillId="0" borderId="12" xfId="0" applyBorder="1"/>
    <xf numFmtId="0" fontId="16" fillId="0" borderId="0" xfId="0" applyFont="1" applyBorder="1"/>
    <xf numFmtId="1" fontId="16" fillId="0" borderId="13" xfId="0" applyNumberFormat="1" applyFont="1" applyBorder="1"/>
    <xf numFmtId="0" fontId="0" fillId="0" borderId="14" xfId="0" applyBorder="1"/>
    <xf numFmtId="0" fontId="16" fillId="0" borderId="16" xfId="0" applyFont="1" applyBorder="1"/>
    <xf numFmtId="1" fontId="16" fillId="0" borderId="17" xfId="0" applyNumberFormat="1" applyFont="1" applyBorder="1"/>
    <xf numFmtId="0" fontId="0" fillId="0" borderId="10" xfId="0" applyBorder="1" applyAlignment="1">
      <alignment wrapText="1"/>
    </xf>
    <xf numFmtId="0" fontId="16" fillId="0" borderId="15" xfId="0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2" fontId="16" fillId="0" borderId="13" xfId="0" applyNumberFormat="1" applyFon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 style="thin">
          <color auto="1"/>
        </right>
        <top style="thick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ck">
          <color auto="1"/>
        </left>
        <right/>
        <top style="thick">
          <color auto="1"/>
        </top>
        <bottom/>
      </border>
    </dxf>
    <dxf>
      <border>
        <top style="thick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Srinivasan" refreshedDate="44713.697474305554" createdVersion="8" refreshedVersion="8" minRefreshableVersion="3" recordCount="49" xr:uid="{0AB9D6D5-05FF-4C42-B258-405B6F232D23}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1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E07378-9B5A-4488-B699-32B0EEEFF61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partment">
  <location ref="A1:B14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" showAll="0"/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C374BC-077D-40A2-A2B6-6EE3F40A9A8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ehicle types  under each department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numFmtI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7326C3-DC24-4004-9BC9-0A506F2E4108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ifferent departments listed underneath each vehicle type">
  <location ref="A1:B19" firstHeaderRow="1" firstDataRow="1" firstDataCol="1"/>
  <pivotFields count="3"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 sd="0"/>
      </items>
    </pivotField>
    <pivotField dataField="1" numFmtId="1" showAll="0"/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672A38-5093-45AF-A39D-63B4EEFBE801}" name="Table2" displayName="Table2" ref="A1:C55" totalsRowShown="0" totalsRowBorderDxfId="3">
  <tableColumns count="3">
    <tableColumn id="1" xr3:uid="{C475AF11-74CC-4ABA-B625-916FD803C3CE}" name="Department" totalsRowDxfId="2"/>
    <tableColumn id="2" xr3:uid="{60FF2FD8-154D-4B35-8DEC-C48A389E0788}" name="Equipment Class" totalsRowDxfId="1"/>
    <tableColumn id="3" xr3:uid="{7B01906A-914C-4B53-BF80-4E280D5FABE7}" name="Equipment Cou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workbookViewId="0">
      <selection activeCell="G44" sqref="G44"/>
    </sheetView>
  </sheetViews>
  <sheetFormatPr defaultRowHeight="14.4" x14ac:dyDescent="0.3"/>
  <cols>
    <col min="1" max="1" width="29.44140625" bestFit="1" customWidth="1"/>
    <col min="2" max="2" width="26.109375" bestFit="1" customWidth="1"/>
    <col min="3" max="3" width="16.88671875" style="1" customWidth="1"/>
    <col min="5" max="5" width="10.44140625" customWidth="1"/>
    <col min="6" max="6" width="26.88671875" bestFit="1" customWidth="1"/>
    <col min="7" max="7" width="22.5546875" bestFit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5</v>
      </c>
      <c r="B2" t="s">
        <v>6</v>
      </c>
      <c r="C2" s="1">
        <v>21</v>
      </c>
    </row>
    <row r="3" spans="1:3" x14ac:dyDescent="0.3">
      <c r="A3" t="s">
        <v>5</v>
      </c>
      <c r="B3" t="s">
        <v>7</v>
      </c>
      <c r="C3" s="1">
        <v>1</v>
      </c>
    </row>
    <row r="4" spans="1:3" x14ac:dyDescent="0.3">
      <c r="A4" t="s">
        <v>5</v>
      </c>
      <c r="B4" t="s">
        <v>4</v>
      </c>
      <c r="C4" s="1">
        <v>23</v>
      </c>
    </row>
    <row r="5" spans="1:3" x14ac:dyDescent="0.3">
      <c r="A5" t="s">
        <v>8</v>
      </c>
      <c r="B5" t="s">
        <v>4</v>
      </c>
      <c r="C5" s="1">
        <v>2</v>
      </c>
    </row>
    <row r="6" spans="1:3" x14ac:dyDescent="0.3">
      <c r="A6" t="s">
        <v>9</v>
      </c>
      <c r="B6" t="s">
        <v>6</v>
      </c>
      <c r="C6" s="1">
        <v>3</v>
      </c>
    </row>
    <row r="7" spans="1:3" x14ac:dyDescent="0.3">
      <c r="A7" t="s">
        <v>9</v>
      </c>
      <c r="B7" t="s">
        <v>10</v>
      </c>
      <c r="C7" s="1">
        <v>2</v>
      </c>
    </row>
    <row r="8" spans="1:3" x14ac:dyDescent="0.3">
      <c r="A8" t="s">
        <v>9</v>
      </c>
      <c r="B8" t="s">
        <v>11</v>
      </c>
      <c r="C8" s="1">
        <v>1</v>
      </c>
    </row>
    <row r="9" spans="1:3" x14ac:dyDescent="0.3">
      <c r="A9" t="s">
        <v>12</v>
      </c>
      <c r="B9" t="s">
        <v>10</v>
      </c>
      <c r="C9" s="1">
        <v>2</v>
      </c>
    </row>
    <row r="10" spans="1:3" x14ac:dyDescent="0.3">
      <c r="A10" t="s">
        <v>12</v>
      </c>
      <c r="B10" t="s">
        <v>13</v>
      </c>
      <c r="C10" s="1">
        <v>42</v>
      </c>
    </row>
    <row r="11" spans="1:3" x14ac:dyDescent="0.3">
      <c r="A11" t="s">
        <v>12</v>
      </c>
      <c r="B11" t="s">
        <v>7</v>
      </c>
      <c r="C11" s="1">
        <v>1</v>
      </c>
    </row>
    <row r="12" spans="1:3" x14ac:dyDescent="0.3">
      <c r="A12" t="s">
        <v>12</v>
      </c>
      <c r="B12" t="s">
        <v>4</v>
      </c>
      <c r="C12" s="1">
        <v>11</v>
      </c>
    </row>
    <row r="13" spans="1:3" x14ac:dyDescent="0.3">
      <c r="A13" t="s">
        <v>14</v>
      </c>
      <c r="B13" t="s">
        <v>7</v>
      </c>
      <c r="C13" s="1">
        <v>1</v>
      </c>
    </row>
    <row r="14" spans="1:3" x14ac:dyDescent="0.3">
      <c r="A14" t="s">
        <v>15</v>
      </c>
      <c r="B14" t="s">
        <v>16</v>
      </c>
      <c r="C14" s="1">
        <v>9</v>
      </c>
    </row>
    <row r="15" spans="1:3" x14ac:dyDescent="0.3">
      <c r="A15" t="s">
        <v>15</v>
      </c>
      <c r="B15" t="s">
        <v>7</v>
      </c>
      <c r="C15" s="1">
        <v>27</v>
      </c>
    </row>
    <row r="16" spans="1:3" x14ac:dyDescent="0.3">
      <c r="A16" t="s">
        <v>15</v>
      </c>
      <c r="B16" t="s">
        <v>6</v>
      </c>
      <c r="C16" s="1">
        <v>24</v>
      </c>
    </row>
    <row r="17" spans="1:3" x14ac:dyDescent="0.3">
      <c r="A17" t="s">
        <v>15</v>
      </c>
      <c r="B17" t="s">
        <v>10</v>
      </c>
      <c r="C17" s="1">
        <v>1</v>
      </c>
    </row>
    <row r="18" spans="1:3" x14ac:dyDescent="0.3">
      <c r="A18" t="s">
        <v>15</v>
      </c>
      <c r="B18" t="s">
        <v>4</v>
      </c>
      <c r="C18" s="1">
        <v>48</v>
      </c>
    </row>
    <row r="19" spans="1:3" x14ac:dyDescent="0.3">
      <c r="A19" t="s">
        <v>17</v>
      </c>
      <c r="B19" t="s">
        <v>10</v>
      </c>
      <c r="C19" s="1">
        <v>1</v>
      </c>
    </row>
    <row r="20" spans="1:3" x14ac:dyDescent="0.3">
      <c r="A20" t="s">
        <v>18</v>
      </c>
      <c r="B20" t="s">
        <v>4</v>
      </c>
      <c r="C20" s="1">
        <v>6</v>
      </c>
    </row>
    <row r="21" spans="1:3" x14ac:dyDescent="0.3">
      <c r="A21" t="s">
        <v>18</v>
      </c>
      <c r="B21" t="s">
        <v>6</v>
      </c>
      <c r="C21" s="1">
        <v>5</v>
      </c>
    </row>
    <row r="22" spans="1:3" x14ac:dyDescent="0.3">
      <c r="A22" t="s">
        <v>18</v>
      </c>
      <c r="B22" t="s">
        <v>7</v>
      </c>
      <c r="C22" s="1">
        <v>2</v>
      </c>
    </row>
    <row r="23" spans="1:3" x14ac:dyDescent="0.3">
      <c r="A23" t="s">
        <v>18</v>
      </c>
      <c r="B23" t="s">
        <v>10</v>
      </c>
      <c r="C23" s="1">
        <v>15</v>
      </c>
    </row>
    <row r="24" spans="1:3" x14ac:dyDescent="0.3">
      <c r="A24" t="s">
        <v>18</v>
      </c>
      <c r="B24" t="s">
        <v>28</v>
      </c>
      <c r="C24" s="1">
        <v>7</v>
      </c>
    </row>
    <row r="25" spans="1:3" x14ac:dyDescent="0.3">
      <c r="A25" t="s">
        <v>19</v>
      </c>
      <c r="B25" t="s">
        <v>3</v>
      </c>
      <c r="C25" s="1">
        <v>20</v>
      </c>
    </row>
    <row r="26" spans="1:3" x14ac:dyDescent="0.3">
      <c r="A26" t="s">
        <v>19</v>
      </c>
      <c r="B26" t="s">
        <v>4</v>
      </c>
      <c r="C26" s="1">
        <v>1</v>
      </c>
    </row>
    <row r="27" spans="1:3" x14ac:dyDescent="0.3">
      <c r="A27" t="s">
        <v>19</v>
      </c>
      <c r="B27" t="s">
        <v>11</v>
      </c>
      <c r="C27" s="1">
        <v>1</v>
      </c>
    </row>
    <row r="28" spans="1:3" x14ac:dyDescent="0.3">
      <c r="A28" t="s">
        <v>19</v>
      </c>
      <c r="B28" t="s">
        <v>6</v>
      </c>
      <c r="C28" s="1">
        <v>3</v>
      </c>
    </row>
    <row r="29" spans="1:3" x14ac:dyDescent="0.3">
      <c r="A29" t="s">
        <v>19</v>
      </c>
      <c r="B29" t="s">
        <v>7</v>
      </c>
      <c r="C29" s="1">
        <v>1</v>
      </c>
    </row>
    <row r="30" spans="1:3" x14ac:dyDescent="0.3">
      <c r="A30" t="s">
        <v>19</v>
      </c>
      <c r="B30" t="s">
        <v>20</v>
      </c>
      <c r="C30" s="1">
        <v>8</v>
      </c>
    </row>
    <row r="31" spans="1:3" x14ac:dyDescent="0.3">
      <c r="A31" t="s">
        <v>19</v>
      </c>
      <c r="B31" t="s">
        <v>21</v>
      </c>
      <c r="C31" s="1">
        <v>4</v>
      </c>
    </row>
    <row r="32" spans="1:3" x14ac:dyDescent="0.3">
      <c r="A32" t="s">
        <v>19</v>
      </c>
      <c r="B32" t="s">
        <v>22</v>
      </c>
      <c r="C32" s="1">
        <v>46</v>
      </c>
    </row>
    <row r="33" spans="1:3" x14ac:dyDescent="0.3">
      <c r="A33" t="s">
        <v>19</v>
      </c>
      <c r="B33" t="s">
        <v>23</v>
      </c>
      <c r="C33" s="1">
        <v>1</v>
      </c>
    </row>
    <row r="34" spans="1:3" x14ac:dyDescent="0.3">
      <c r="A34" t="s">
        <v>24</v>
      </c>
      <c r="B34" t="s">
        <v>22</v>
      </c>
      <c r="C34" s="1">
        <v>1</v>
      </c>
    </row>
    <row r="35" spans="1:3" x14ac:dyDescent="0.3">
      <c r="A35" t="s">
        <v>24</v>
      </c>
      <c r="B35" t="s">
        <v>10</v>
      </c>
      <c r="C35" s="1">
        <v>1</v>
      </c>
    </row>
    <row r="36" spans="1:3" x14ac:dyDescent="0.3">
      <c r="A36" t="s">
        <v>24</v>
      </c>
      <c r="B36" t="s">
        <v>7</v>
      </c>
      <c r="C36" s="1">
        <v>1</v>
      </c>
    </row>
    <row r="37" spans="1:3" x14ac:dyDescent="0.3">
      <c r="A37" t="s">
        <v>24</v>
      </c>
      <c r="B37" t="s">
        <v>4</v>
      </c>
      <c r="C37" s="1">
        <v>2</v>
      </c>
    </row>
    <row r="38" spans="1:3" x14ac:dyDescent="0.3">
      <c r="A38" t="s">
        <v>25</v>
      </c>
      <c r="B38" t="s">
        <v>6</v>
      </c>
      <c r="C38" s="1">
        <v>1</v>
      </c>
    </row>
    <row r="39" spans="1:3" x14ac:dyDescent="0.3">
      <c r="A39" t="s">
        <v>25</v>
      </c>
      <c r="B39" t="s">
        <v>16</v>
      </c>
      <c r="C39" s="1">
        <v>1</v>
      </c>
    </row>
    <row r="40" spans="1:3" x14ac:dyDescent="0.3">
      <c r="A40" t="s">
        <v>25</v>
      </c>
      <c r="B40" t="s">
        <v>10</v>
      </c>
      <c r="C40" s="1">
        <v>11</v>
      </c>
    </row>
    <row r="41" spans="1:3" x14ac:dyDescent="0.3">
      <c r="A41" t="s">
        <v>25</v>
      </c>
      <c r="B41" t="s">
        <v>7</v>
      </c>
      <c r="C41" s="1">
        <v>3</v>
      </c>
    </row>
    <row r="42" spans="1:3" x14ac:dyDescent="0.3">
      <c r="A42" t="s">
        <v>26</v>
      </c>
      <c r="B42" t="s">
        <v>6</v>
      </c>
      <c r="C42" s="1">
        <v>93</v>
      </c>
    </row>
    <row r="43" spans="1:3" x14ac:dyDescent="0.3">
      <c r="A43" t="s">
        <v>26</v>
      </c>
      <c r="B43" t="s">
        <v>13</v>
      </c>
      <c r="C43" s="1">
        <v>248</v>
      </c>
    </row>
    <row r="44" spans="1:3" x14ac:dyDescent="0.3">
      <c r="A44" t="s">
        <v>26</v>
      </c>
      <c r="B44" t="s">
        <v>27</v>
      </c>
      <c r="C44" s="1">
        <v>379</v>
      </c>
    </row>
    <row r="45" spans="1:3" x14ac:dyDescent="0.3">
      <c r="A45" t="s">
        <v>26</v>
      </c>
      <c r="B45" t="s">
        <v>7</v>
      </c>
      <c r="C45" s="1">
        <v>53</v>
      </c>
    </row>
    <row r="46" spans="1:3" x14ac:dyDescent="0.3">
      <c r="A46" t="s">
        <v>26</v>
      </c>
      <c r="B46" t="s">
        <v>10</v>
      </c>
      <c r="C46" s="1">
        <v>32</v>
      </c>
    </row>
    <row r="47" spans="1:3" x14ac:dyDescent="0.3">
      <c r="A47" t="s">
        <v>26</v>
      </c>
      <c r="B47" t="s">
        <v>11</v>
      </c>
      <c r="C47" s="1">
        <v>98</v>
      </c>
    </row>
    <row r="48" spans="1:3" x14ac:dyDescent="0.3">
      <c r="A48" t="s">
        <v>26</v>
      </c>
      <c r="B48" t="s">
        <v>28</v>
      </c>
      <c r="C48" s="1">
        <v>276</v>
      </c>
    </row>
    <row r="49" spans="1:6" x14ac:dyDescent="0.3">
      <c r="A49" t="s">
        <v>26</v>
      </c>
      <c r="B49" t="s">
        <v>16</v>
      </c>
      <c r="C49" s="1">
        <v>5</v>
      </c>
    </row>
    <row r="50" spans="1:6" ht="15" thickBot="1" x14ac:dyDescent="0.35">
      <c r="A50" t="s">
        <v>26</v>
      </c>
      <c r="B50" t="s">
        <v>4</v>
      </c>
      <c r="C50" s="1">
        <v>37</v>
      </c>
    </row>
    <row r="51" spans="1:6" ht="15" thickTop="1" x14ac:dyDescent="0.3">
      <c r="A51" s="9"/>
      <c r="B51" s="10" t="s">
        <v>29</v>
      </c>
      <c r="C51" s="2">
        <f>SUBTOTAL(109,C2:C50)</f>
        <v>1582</v>
      </c>
      <c r="D51" s="14"/>
      <c r="E51" s="17"/>
      <c r="F51" s="17"/>
    </row>
    <row r="52" spans="1:6" x14ac:dyDescent="0.3">
      <c r="A52" s="3"/>
      <c r="B52" s="4" t="s">
        <v>30</v>
      </c>
      <c r="C52" s="16">
        <f>AVERAGE(C2:C50)</f>
        <v>32.285714285714285</v>
      </c>
    </row>
    <row r="53" spans="1:6" x14ac:dyDescent="0.3">
      <c r="A53" s="3"/>
      <c r="B53" s="4" t="s">
        <v>31</v>
      </c>
      <c r="C53" s="5">
        <f>MIN(C2:C50)</f>
        <v>1</v>
      </c>
    </row>
    <row r="54" spans="1:6" x14ac:dyDescent="0.3">
      <c r="A54" s="3"/>
      <c r="B54" s="4" t="s">
        <v>32</v>
      </c>
      <c r="C54" s="5">
        <f>MAX(C2:C50)</f>
        <v>379</v>
      </c>
    </row>
    <row r="55" spans="1:6" ht="15" thickBot="1" x14ac:dyDescent="0.35">
      <c r="A55" s="6"/>
      <c r="B55" s="7" t="s">
        <v>33</v>
      </c>
      <c r="C55" s="8">
        <f>COUNT(C2:C50)</f>
        <v>49</v>
      </c>
    </row>
    <row r="56" spans="1:6" ht="15" thickTop="1" x14ac:dyDescent="0.3"/>
  </sheetData>
  <mergeCells count="1">
    <mergeCell ref="E51:F5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464D-AEB8-4106-B64E-626B48D02B74}">
  <dimension ref="A1:B14"/>
  <sheetViews>
    <sheetView tabSelected="1" workbookViewId="0">
      <selection activeCell="A23" sqref="A23"/>
    </sheetView>
  </sheetViews>
  <sheetFormatPr defaultRowHeight="14.4" x14ac:dyDescent="0.3"/>
  <cols>
    <col min="1" max="1" width="26.88671875" bestFit="1" customWidth="1"/>
    <col min="2" max="2" width="22.5546875" bestFit="1" customWidth="1"/>
  </cols>
  <sheetData>
    <row r="1" spans="1:2" x14ac:dyDescent="0.3">
      <c r="A1" s="11" t="s">
        <v>0</v>
      </c>
      <c r="B1" t="s">
        <v>35</v>
      </c>
    </row>
    <row r="2" spans="1:2" x14ac:dyDescent="0.3">
      <c r="A2" s="12" t="s">
        <v>26</v>
      </c>
      <c r="B2" s="13">
        <v>1221</v>
      </c>
    </row>
    <row r="3" spans="1:2" x14ac:dyDescent="0.3">
      <c r="A3" s="12" t="s">
        <v>15</v>
      </c>
      <c r="B3" s="13">
        <v>109</v>
      </c>
    </row>
    <row r="4" spans="1:2" x14ac:dyDescent="0.3">
      <c r="A4" s="12" t="s">
        <v>19</v>
      </c>
      <c r="B4" s="13">
        <v>85</v>
      </c>
    </row>
    <row r="5" spans="1:2" x14ac:dyDescent="0.3">
      <c r="A5" s="12" t="s">
        <v>12</v>
      </c>
      <c r="B5" s="13">
        <v>56</v>
      </c>
    </row>
    <row r="6" spans="1:2" x14ac:dyDescent="0.3">
      <c r="A6" s="12" t="s">
        <v>5</v>
      </c>
      <c r="B6" s="13">
        <v>45</v>
      </c>
    </row>
    <row r="7" spans="1:2" x14ac:dyDescent="0.3">
      <c r="A7" s="12" t="s">
        <v>18</v>
      </c>
      <c r="B7" s="13">
        <v>35</v>
      </c>
    </row>
    <row r="8" spans="1:2" x14ac:dyDescent="0.3">
      <c r="A8" s="12" t="s">
        <v>25</v>
      </c>
      <c r="B8" s="13">
        <v>16</v>
      </c>
    </row>
    <row r="9" spans="1:2" x14ac:dyDescent="0.3">
      <c r="A9" s="12" t="s">
        <v>9</v>
      </c>
      <c r="B9" s="13">
        <v>6</v>
      </c>
    </row>
    <row r="10" spans="1:2" x14ac:dyDescent="0.3">
      <c r="A10" s="12" t="s">
        <v>24</v>
      </c>
      <c r="B10" s="13">
        <v>5</v>
      </c>
    </row>
    <row r="11" spans="1:2" x14ac:dyDescent="0.3">
      <c r="A11" s="12" t="s">
        <v>8</v>
      </c>
      <c r="B11" s="13">
        <v>2</v>
      </c>
    </row>
    <row r="12" spans="1:2" x14ac:dyDescent="0.3">
      <c r="A12" s="12" t="s">
        <v>14</v>
      </c>
      <c r="B12" s="13">
        <v>1</v>
      </c>
    </row>
    <row r="13" spans="1:2" x14ac:dyDescent="0.3">
      <c r="A13" s="12" t="s">
        <v>17</v>
      </c>
      <c r="B13" s="13">
        <v>1</v>
      </c>
    </row>
    <row r="14" spans="1:2" x14ac:dyDescent="0.3">
      <c r="A14" s="12" t="s">
        <v>34</v>
      </c>
      <c r="B14" s="1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833D-7030-4DD2-A9F0-25F2831F043B}">
  <dimension ref="A3:B25"/>
  <sheetViews>
    <sheetView workbookViewId="0">
      <selection activeCell="D7" sqref="D7"/>
    </sheetView>
  </sheetViews>
  <sheetFormatPr defaultRowHeight="14.4" x14ac:dyDescent="0.3"/>
  <cols>
    <col min="1" max="1" width="41.5546875" bestFit="1" customWidth="1"/>
    <col min="2" max="2" width="22.5546875" bestFit="1" customWidth="1"/>
  </cols>
  <sheetData>
    <row r="3" spans="1:2" x14ac:dyDescent="0.3">
      <c r="A3" s="11" t="s">
        <v>36</v>
      </c>
      <c r="B3" t="s">
        <v>35</v>
      </c>
    </row>
    <row r="4" spans="1:2" x14ac:dyDescent="0.3">
      <c r="A4" s="12" t="s">
        <v>26</v>
      </c>
      <c r="B4" s="13">
        <v>1221</v>
      </c>
    </row>
    <row r="5" spans="1:2" x14ac:dyDescent="0.3">
      <c r="A5" s="15" t="s">
        <v>16</v>
      </c>
      <c r="B5" s="13">
        <v>5</v>
      </c>
    </row>
    <row r="6" spans="1:2" x14ac:dyDescent="0.3">
      <c r="A6" s="15" t="s">
        <v>13</v>
      </c>
      <c r="B6" s="13">
        <v>248</v>
      </c>
    </row>
    <row r="7" spans="1:2" x14ac:dyDescent="0.3">
      <c r="A7" s="15" t="s">
        <v>11</v>
      </c>
      <c r="B7" s="13">
        <v>98</v>
      </c>
    </row>
    <row r="8" spans="1:2" x14ac:dyDescent="0.3">
      <c r="A8" s="15" t="s">
        <v>28</v>
      </c>
      <c r="B8" s="13">
        <v>276</v>
      </c>
    </row>
    <row r="9" spans="1:2" x14ac:dyDescent="0.3">
      <c r="A9" s="15" t="s">
        <v>6</v>
      </c>
      <c r="B9" s="13">
        <v>93</v>
      </c>
    </row>
    <row r="10" spans="1:2" x14ac:dyDescent="0.3">
      <c r="A10" s="15" t="s">
        <v>4</v>
      </c>
      <c r="B10" s="13">
        <v>37</v>
      </c>
    </row>
    <row r="11" spans="1:2" x14ac:dyDescent="0.3">
      <c r="A11" s="15" t="s">
        <v>7</v>
      </c>
      <c r="B11" s="13">
        <v>53</v>
      </c>
    </row>
    <row r="12" spans="1:2" x14ac:dyDescent="0.3">
      <c r="A12" s="15" t="s">
        <v>27</v>
      </c>
      <c r="B12" s="13">
        <v>379</v>
      </c>
    </row>
    <row r="13" spans="1:2" x14ac:dyDescent="0.3">
      <c r="A13" s="15" t="s">
        <v>10</v>
      </c>
      <c r="B13" s="13">
        <v>32</v>
      </c>
    </row>
    <row r="14" spans="1:2" x14ac:dyDescent="0.3">
      <c r="A14" s="12" t="s">
        <v>15</v>
      </c>
      <c r="B14" s="13">
        <v>109</v>
      </c>
    </row>
    <row r="15" spans="1:2" x14ac:dyDescent="0.3">
      <c r="A15" s="12" t="s">
        <v>19</v>
      </c>
      <c r="B15" s="13">
        <v>85</v>
      </c>
    </row>
    <row r="16" spans="1:2" x14ac:dyDescent="0.3">
      <c r="A16" s="12" t="s">
        <v>12</v>
      </c>
      <c r="B16" s="13">
        <v>56</v>
      </c>
    </row>
    <row r="17" spans="1:2" x14ac:dyDescent="0.3">
      <c r="A17" s="12" t="s">
        <v>5</v>
      </c>
      <c r="B17" s="13">
        <v>45</v>
      </c>
    </row>
    <row r="18" spans="1:2" x14ac:dyDescent="0.3">
      <c r="A18" s="12" t="s">
        <v>18</v>
      </c>
      <c r="B18" s="13">
        <v>35</v>
      </c>
    </row>
    <row r="19" spans="1:2" x14ac:dyDescent="0.3">
      <c r="A19" s="12" t="s">
        <v>25</v>
      </c>
      <c r="B19" s="13">
        <v>16</v>
      </c>
    </row>
    <row r="20" spans="1:2" x14ac:dyDescent="0.3">
      <c r="A20" s="12" t="s">
        <v>9</v>
      </c>
      <c r="B20" s="13">
        <v>6</v>
      </c>
    </row>
    <row r="21" spans="1:2" x14ac:dyDescent="0.3">
      <c r="A21" s="12" t="s">
        <v>24</v>
      </c>
      <c r="B21" s="13">
        <v>5</v>
      </c>
    </row>
    <row r="22" spans="1:2" x14ac:dyDescent="0.3">
      <c r="A22" s="12" t="s">
        <v>8</v>
      </c>
      <c r="B22" s="13">
        <v>2</v>
      </c>
    </row>
    <row r="23" spans="1:2" x14ac:dyDescent="0.3">
      <c r="A23" s="12" t="s">
        <v>14</v>
      </c>
      <c r="B23" s="13">
        <v>1</v>
      </c>
    </row>
    <row r="24" spans="1:2" x14ac:dyDescent="0.3">
      <c r="A24" s="12" t="s">
        <v>17</v>
      </c>
      <c r="B24" s="13">
        <v>1</v>
      </c>
    </row>
    <row r="25" spans="1:2" x14ac:dyDescent="0.3">
      <c r="A25" s="12" t="s">
        <v>34</v>
      </c>
      <c r="B25" s="1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89565-326F-4A32-A7CE-8DFEE7968434}">
  <dimension ref="A1:B19"/>
  <sheetViews>
    <sheetView workbookViewId="0">
      <selection activeCell="E9" sqref="E9"/>
    </sheetView>
  </sheetViews>
  <sheetFormatPr defaultRowHeight="14.4" x14ac:dyDescent="0.3"/>
  <cols>
    <col min="1" max="1" width="53.109375" bestFit="1" customWidth="1"/>
    <col min="2" max="2" width="22.5546875" bestFit="1" customWidth="1"/>
  </cols>
  <sheetData>
    <row r="1" spans="1:2" x14ac:dyDescent="0.3">
      <c r="A1" s="11" t="s">
        <v>37</v>
      </c>
      <c r="B1" t="s">
        <v>35</v>
      </c>
    </row>
    <row r="2" spans="1:2" x14ac:dyDescent="0.3">
      <c r="A2" s="12" t="s">
        <v>16</v>
      </c>
      <c r="B2" s="13">
        <v>15</v>
      </c>
    </row>
    <row r="3" spans="1:2" x14ac:dyDescent="0.3">
      <c r="A3" s="15" t="s">
        <v>15</v>
      </c>
      <c r="B3" s="13">
        <v>9</v>
      </c>
    </row>
    <row r="4" spans="1:2" x14ac:dyDescent="0.3">
      <c r="A4" s="15" t="s">
        <v>26</v>
      </c>
      <c r="B4" s="13">
        <v>5</v>
      </c>
    </row>
    <row r="5" spans="1:2" x14ac:dyDescent="0.3">
      <c r="A5" s="15" t="s">
        <v>25</v>
      </c>
      <c r="B5" s="13">
        <v>1</v>
      </c>
    </row>
    <row r="6" spans="1:2" x14ac:dyDescent="0.3">
      <c r="A6" s="12" t="s">
        <v>13</v>
      </c>
      <c r="B6" s="13">
        <v>290</v>
      </c>
    </row>
    <row r="7" spans="1:2" x14ac:dyDescent="0.3">
      <c r="A7" s="12" t="s">
        <v>11</v>
      </c>
      <c r="B7" s="13">
        <v>100</v>
      </c>
    </row>
    <row r="8" spans="1:2" x14ac:dyDescent="0.3">
      <c r="A8" s="12" t="s">
        <v>28</v>
      </c>
      <c r="B8" s="13">
        <v>283</v>
      </c>
    </row>
    <row r="9" spans="1:2" x14ac:dyDescent="0.3">
      <c r="A9" s="12" t="s">
        <v>6</v>
      </c>
      <c r="B9" s="13">
        <v>150</v>
      </c>
    </row>
    <row r="10" spans="1:2" x14ac:dyDescent="0.3">
      <c r="A10" s="12" t="s">
        <v>21</v>
      </c>
      <c r="B10" s="13">
        <v>4</v>
      </c>
    </row>
    <row r="11" spans="1:2" x14ac:dyDescent="0.3">
      <c r="A11" s="12" t="s">
        <v>23</v>
      </c>
      <c r="B11" s="13">
        <v>1</v>
      </c>
    </row>
    <row r="12" spans="1:2" x14ac:dyDescent="0.3">
      <c r="A12" s="12" t="s">
        <v>22</v>
      </c>
      <c r="B12" s="13">
        <v>47</v>
      </c>
    </row>
    <row r="13" spans="1:2" x14ac:dyDescent="0.3">
      <c r="A13" s="12" t="s">
        <v>3</v>
      </c>
      <c r="B13" s="13">
        <v>20</v>
      </c>
    </row>
    <row r="14" spans="1:2" x14ac:dyDescent="0.3">
      <c r="A14" s="12" t="s">
        <v>20</v>
      </c>
      <c r="B14" s="13">
        <v>8</v>
      </c>
    </row>
    <row r="15" spans="1:2" x14ac:dyDescent="0.3">
      <c r="A15" s="12" t="s">
        <v>4</v>
      </c>
      <c r="B15" s="13">
        <v>130</v>
      </c>
    </row>
    <row r="16" spans="1:2" x14ac:dyDescent="0.3">
      <c r="A16" s="12" t="s">
        <v>7</v>
      </c>
      <c r="B16" s="13">
        <v>90</v>
      </c>
    </row>
    <row r="17" spans="1:2" x14ac:dyDescent="0.3">
      <c r="A17" s="12" t="s">
        <v>27</v>
      </c>
      <c r="B17" s="13">
        <v>379</v>
      </c>
    </row>
    <row r="18" spans="1:2" x14ac:dyDescent="0.3">
      <c r="A18" s="12" t="s">
        <v>10</v>
      </c>
      <c r="B18" s="13">
        <v>65</v>
      </c>
    </row>
    <row r="19" spans="1:2" x14ac:dyDescent="0.3">
      <c r="A19" s="12" t="s">
        <v>34</v>
      </c>
      <c r="B19" s="13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Montgomery_Fleet_Equipment_Inve</vt:lpstr>
      <vt:lpstr>PIVOT_TBL1</vt:lpstr>
      <vt:lpstr>PIVOT_TBL2</vt:lpstr>
      <vt:lpstr>PIVOT_TBL3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Rajesh Srinivasan</cp:lastModifiedBy>
  <dcterms:created xsi:type="dcterms:W3CDTF">2020-09-01T17:18:12Z</dcterms:created>
  <dcterms:modified xsi:type="dcterms:W3CDTF">2022-06-01T21:30:17Z</dcterms:modified>
</cp:coreProperties>
</file>